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esearch\Charts\"/>
    </mc:Choice>
  </mc:AlternateContent>
  <xr:revisionPtr revIDLastSave="0" documentId="13_ncr:1_{BDA0D9C5-6A95-4950-9B55-7D0B3B69510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B23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B21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B19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B17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B9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B11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B15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B13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B7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B5" i="1"/>
</calcChain>
</file>

<file path=xl/sharedStrings.xml><?xml version="1.0" encoding="utf-8"?>
<sst xmlns="http://schemas.openxmlformats.org/spreadsheetml/2006/main" count="63" uniqueCount="31">
  <si>
    <t>duration</t>
  </si>
  <si>
    <t>total_input_tokens</t>
  </si>
  <si>
    <t>total_output_tokens</t>
  </si>
  <si>
    <t>request_throughput</t>
  </si>
  <si>
    <t>output_throughput</t>
  </si>
  <si>
    <t>total_token_throughput</t>
  </si>
  <si>
    <t>mean_ttft_ms</t>
  </si>
  <si>
    <t>median_ttft_ms</t>
  </si>
  <si>
    <t>p99_ttft_ms</t>
  </si>
  <si>
    <t>mean_tpot_ms</t>
  </si>
  <si>
    <t>median_tpot_ms</t>
  </si>
  <si>
    <t>p99_tpot_ms</t>
  </si>
  <si>
    <t>mean_itl_ms</t>
  </si>
  <si>
    <t>median_itl_ms</t>
  </si>
  <si>
    <t>p99_itl_ms</t>
  </si>
  <si>
    <t>mean_e2el_ms</t>
  </si>
  <si>
    <t>median_e2el_ms</t>
  </si>
  <si>
    <t>p99_e2el_ms</t>
  </si>
  <si>
    <t>run_number</t>
  </si>
  <si>
    <t>max_num_seqs</t>
  </si>
  <si>
    <t>max_num_batched_tokens</t>
  </si>
  <si>
    <t>random_input_len</t>
  </si>
  <si>
    <t>random_output_len</t>
  </si>
  <si>
    <t>2 gpus qwen vllm vanilla</t>
  </si>
  <si>
    <t>2 gpus qwen steer all layers</t>
  </si>
  <si>
    <t>2 gpus qwen steer single layers</t>
  </si>
  <si>
    <t>2 gpus qwen vllm eager</t>
  </si>
  <si>
    <t>EasyEdit (*)</t>
  </si>
  <si>
    <t>2 gpus linear probe all layers(*)</t>
  </si>
  <si>
    <t>2 gpus linear probe single layer(*)</t>
  </si>
  <si>
    <t>0 gpus linear probe single layer(*)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</si>
</sst>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workbookViewId="0">
      <selection activeCell="A26" sqref="A26"/>
    </sheetView>
  </sheetViews>
  <sheetFormatPr defaultRowHeight="14.5" x14ac:dyDescent="0.35"/>
  <cols>
    <col min="1" max="1" width="41.08984375" bestFit="1" customWidth="1"/>
  </cols>
  <sheetData>
    <row r="1" spans="1:2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5">
      <c r="A2" t="s">
        <v>23</v>
      </c>
      <c r="B2" s="1">
        <v>4.9657976772636134</v>
      </c>
      <c r="C2" s="1">
        <v>22725</v>
      </c>
      <c r="D2" s="1">
        <v>21070</v>
      </c>
      <c r="E2" s="1">
        <v>20.143603576209625</v>
      </c>
      <c r="F2" s="1">
        <v>4244.2572735073754</v>
      </c>
      <c r="G2" s="1">
        <v>8821.8911862010264</v>
      </c>
      <c r="H2" s="1">
        <v>1023.6226119287261</v>
      </c>
      <c r="I2" s="1">
        <v>854.14575887843944</v>
      </c>
      <c r="J2" s="1">
        <v>2509.5352490488381</v>
      </c>
      <c r="K2" s="1">
        <v>5.7104982702355578</v>
      </c>
      <c r="L2" s="1">
        <v>5.4531391520294816</v>
      </c>
      <c r="M2" s="1">
        <v>14.591157359220867</v>
      </c>
      <c r="N2" s="1">
        <v>5.0259797367760317</v>
      </c>
      <c r="O2" s="1">
        <v>4.1437742300331557</v>
      </c>
      <c r="P2" s="1">
        <v>17.291538050398188</v>
      </c>
      <c r="Q2" s="1">
        <v>2076.994145199651</v>
      </c>
      <c r="R2" s="1">
        <v>1937.9210141487379</v>
      </c>
      <c r="S2" s="1">
        <v>4627.2644227314722</v>
      </c>
      <c r="T2" s="1"/>
      <c r="U2">
        <v>32</v>
      </c>
      <c r="V2">
        <v>1024</v>
      </c>
      <c r="W2">
        <v>512</v>
      </c>
      <c r="X2">
        <v>128</v>
      </c>
    </row>
    <row r="3" spans="1:24" x14ac:dyDescent="0.35">
      <c r="B3" s="1">
        <v>3.9650751359760719</v>
      </c>
      <c r="C3" s="1">
        <v>22725</v>
      </c>
      <c r="D3" s="1">
        <v>21070</v>
      </c>
      <c r="E3" s="1">
        <v>25.226285371548975</v>
      </c>
      <c r="F3" s="1">
        <v>5315.1783277853756</v>
      </c>
      <c r="G3" s="1">
        <v>11047.851678469866</v>
      </c>
      <c r="H3" s="1">
        <v>440.14925146847929</v>
      </c>
      <c r="I3" s="1">
        <v>374.91918988525833</v>
      </c>
      <c r="J3" s="1">
        <v>1054.2115827407647</v>
      </c>
      <c r="K3" s="1">
        <v>8.1827273722838374</v>
      </c>
      <c r="L3" s="1">
        <v>6.7687620931901495</v>
      </c>
      <c r="M3" s="1">
        <v>18.07244428792032</v>
      </c>
      <c r="N3" s="1">
        <v>5.6741556778531885</v>
      </c>
      <c r="O3" s="1">
        <v>4.6318133361637548</v>
      </c>
      <c r="P3" s="1">
        <v>18.399121845140989</v>
      </c>
      <c r="Q3" s="1">
        <v>1629.1215907409737</v>
      </c>
      <c r="R3" s="1">
        <v>1460.8732508495402</v>
      </c>
      <c r="S3" s="1">
        <v>3912.3806119356277</v>
      </c>
      <c r="T3" s="1"/>
      <c r="U3">
        <v>64</v>
      </c>
      <c r="V3">
        <v>1024</v>
      </c>
      <c r="W3">
        <v>512</v>
      </c>
      <c r="X3">
        <v>128</v>
      </c>
    </row>
    <row r="4" spans="1:24" x14ac:dyDescent="0.35">
      <c r="A4" t="s">
        <v>24</v>
      </c>
      <c r="B4" s="1">
        <v>5.6687649786472276</v>
      </c>
      <c r="C4" s="1">
        <v>22725</v>
      </c>
      <c r="D4" s="1">
        <v>21220.400000000001</v>
      </c>
      <c r="E4" s="1">
        <v>17.64338103465445</v>
      </c>
      <c r="F4" s="1">
        <v>3743.9422679714598</v>
      </c>
      <c r="G4" s="1">
        <v>7753.4006080966983</v>
      </c>
      <c r="H4" s="1">
        <v>1254.8759077582458</v>
      </c>
      <c r="I4" s="1">
        <v>1042.5932069308999</v>
      </c>
      <c r="J4" s="1">
        <v>3118.309633603315</v>
      </c>
      <c r="K4" s="1">
        <v>7.1818478826138108</v>
      </c>
      <c r="L4" s="1">
        <v>6.5946789397805645</v>
      </c>
      <c r="M4" s="1">
        <v>23.462174900279663</v>
      </c>
      <c r="N4" s="1">
        <v>5.940045832233606</v>
      </c>
      <c r="O4" s="1">
        <v>4.3990395963191959</v>
      </c>
      <c r="P4" s="1">
        <v>26.820033431053105</v>
      </c>
      <c r="Q4" s="1">
        <v>2509.048025181512</v>
      </c>
      <c r="R4" s="1">
        <v>2382.2012282907904</v>
      </c>
      <c r="S4" s="1">
        <v>5289.2795892879349</v>
      </c>
      <c r="T4" s="1"/>
      <c r="U4">
        <v>32</v>
      </c>
      <c r="V4">
        <v>1024</v>
      </c>
      <c r="W4">
        <v>512</v>
      </c>
      <c r="X4">
        <v>128</v>
      </c>
    </row>
    <row r="5" spans="1:24" x14ac:dyDescent="0.35">
      <c r="B5" s="2">
        <f>(B4-B2)*100/B2</f>
        <v>14.156180881114393</v>
      </c>
      <c r="C5" s="2">
        <f t="shared" ref="C5:S5" si="0">(C4-C2)*100/C2</f>
        <v>0</v>
      </c>
      <c r="D5" s="2">
        <f t="shared" si="0"/>
        <v>0.71381110583769081</v>
      </c>
      <c r="E5" s="2">
        <f t="shared" si="0"/>
        <v>-12.411992383071093</v>
      </c>
      <c r="F5" s="2">
        <f t="shared" si="0"/>
        <v>-11.788046136102031</v>
      </c>
      <c r="G5" s="2">
        <f t="shared" si="0"/>
        <v>-12.111808630961503</v>
      </c>
      <c r="H5" s="2">
        <f t="shared" si="0"/>
        <v>22.591655668272956</v>
      </c>
      <c r="I5" s="2">
        <f t="shared" si="0"/>
        <v>22.062680297084981</v>
      </c>
      <c r="J5" s="2">
        <f t="shared" si="0"/>
        <v>24.258451232562447</v>
      </c>
      <c r="K5" s="2">
        <f t="shared" si="0"/>
        <v>25.765695789582299</v>
      </c>
      <c r="L5" s="2">
        <f t="shared" si="0"/>
        <v>20.933626594256975</v>
      </c>
      <c r="M5" s="2">
        <f t="shared" si="0"/>
        <v>60.797216578935497</v>
      </c>
      <c r="N5" s="2">
        <f t="shared" si="0"/>
        <v>18.186824128421812</v>
      </c>
      <c r="O5" s="2">
        <f t="shared" si="0"/>
        <v>6.160214145740218</v>
      </c>
      <c r="P5" s="2">
        <f t="shared" si="0"/>
        <v>55.104961472386179</v>
      </c>
      <c r="Q5" s="2">
        <f t="shared" si="0"/>
        <v>20.80188242130696</v>
      </c>
      <c r="R5" s="2">
        <f t="shared" si="0"/>
        <v>22.925610017042388</v>
      </c>
      <c r="S5" s="2">
        <f t="shared" si="0"/>
        <v>14.30683674147317</v>
      </c>
      <c r="T5" s="2"/>
    </row>
    <row r="6" spans="1:24" x14ac:dyDescent="0.35">
      <c r="B6" s="1">
        <v>4.4908032521605445</v>
      </c>
      <c r="C6" s="1">
        <v>22725</v>
      </c>
      <c r="D6" s="1">
        <v>21254.25</v>
      </c>
      <c r="E6" s="1">
        <v>22.271140670009249</v>
      </c>
      <c r="F6" s="1">
        <v>4733.5733909495921</v>
      </c>
      <c r="G6" s="1">
        <v>9794.6901082092045</v>
      </c>
      <c r="H6" s="1">
        <v>582.03182387165691</v>
      </c>
      <c r="I6" s="1">
        <v>501.60011816769821</v>
      </c>
      <c r="J6" s="1">
        <v>1422.9363685771777</v>
      </c>
      <c r="K6" s="1">
        <v>10.764134747582844</v>
      </c>
      <c r="L6" s="1">
        <v>8.1544445275467048</v>
      </c>
      <c r="M6" s="1">
        <v>27.64528613810732</v>
      </c>
      <c r="N6" s="1">
        <v>6.675032114777478</v>
      </c>
      <c r="O6" s="1">
        <v>4.8922083340585205</v>
      </c>
      <c r="P6" s="1">
        <v>28.000281658023546</v>
      </c>
      <c r="Q6" s="1">
        <v>1993.439705939958</v>
      </c>
      <c r="R6" s="1">
        <v>1857.9373777843957</v>
      </c>
      <c r="S6" s="1">
        <v>4436.2854913976007</v>
      </c>
      <c r="T6" s="1"/>
      <c r="U6">
        <v>64</v>
      </c>
      <c r="V6">
        <v>1024</v>
      </c>
      <c r="W6">
        <v>512</v>
      </c>
      <c r="X6">
        <v>128</v>
      </c>
    </row>
    <row r="7" spans="1:24" s="2" customFormat="1" x14ac:dyDescent="0.35">
      <c r="B7" s="2">
        <f>(B6-B3)*100/B3</f>
        <v>13.258969834251467</v>
      </c>
      <c r="C7" s="2">
        <f t="shared" ref="C7:S7" si="1">(C6-C3)*100/C3</f>
        <v>0</v>
      </c>
      <c r="D7" s="2">
        <f t="shared" si="1"/>
        <v>0.87446606549596584</v>
      </c>
      <c r="E7" s="2">
        <f t="shared" si="1"/>
        <v>-11.714545594067665</v>
      </c>
      <c r="F7" s="2">
        <f t="shared" si="1"/>
        <v>-10.942340989678803</v>
      </c>
      <c r="G7" s="2">
        <f t="shared" si="1"/>
        <v>-11.343033982822487</v>
      </c>
      <c r="H7" s="2">
        <f t="shared" si="1"/>
        <v>32.235104780892343</v>
      </c>
      <c r="I7" s="2">
        <f t="shared" si="1"/>
        <v>33.78886216019238</v>
      </c>
      <c r="J7" s="2">
        <f t="shared" si="1"/>
        <v>34.976355019529713</v>
      </c>
      <c r="K7" s="2">
        <f t="shared" si="1"/>
        <v>31.547028977680871</v>
      </c>
      <c r="L7" s="2">
        <f t="shared" si="1"/>
        <v>20.471726074560209</v>
      </c>
      <c r="M7" s="2">
        <f t="shared" si="1"/>
        <v>52.969270219776071</v>
      </c>
      <c r="N7" s="2">
        <f t="shared" si="1"/>
        <v>17.63921354556437</v>
      </c>
      <c r="O7" s="2">
        <f t="shared" si="1"/>
        <v>5.6218802226264764</v>
      </c>
      <c r="P7" s="2">
        <f t="shared" si="1"/>
        <v>52.182706836185879</v>
      </c>
      <c r="Q7" s="2">
        <f t="shared" si="1"/>
        <v>22.362855987519104</v>
      </c>
      <c r="R7" s="2">
        <f t="shared" si="1"/>
        <v>27.179916307177997</v>
      </c>
      <c r="S7" s="2">
        <f t="shared" si="1"/>
        <v>13.390948668533916</v>
      </c>
    </row>
    <row r="8" spans="1:24" x14ac:dyDescent="0.35">
      <c r="A8" t="s">
        <v>25</v>
      </c>
      <c r="B8" s="1">
        <v>5.3023501036688643</v>
      </c>
      <c r="C8" s="1">
        <v>22725</v>
      </c>
      <c r="D8" s="1">
        <v>21070</v>
      </c>
      <c r="E8" s="1">
        <v>18.872770488475179</v>
      </c>
      <c r="F8" s="1">
        <v>3976.4927419217261</v>
      </c>
      <c r="G8" s="1">
        <v>8265.3298354277213</v>
      </c>
      <c r="H8" s="1">
        <v>1132.8569692168342</v>
      </c>
      <c r="I8" s="1">
        <v>947.84560911357278</v>
      </c>
      <c r="J8" s="1">
        <v>2799.3264403063749</v>
      </c>
      <c r="K8" s="1">
        <v>6.5051691227901172</v>
      </c>
      <c r="L8" s="1">
        <v>6.1007547884906268</v>
      </c>
      <c r="M8" s="1">
        <v>19.442198663949931</v>
      </c>
      <c r="N8" s="1">
        <v>5.4822077428118607</v>
      </c>
      <c r="O8" s="1">
        <v>4.2070519179105723</v>
      </c>
      <c r="P8" s="1">
        <v>22.709229400381396</v>
      </c>
      <c r="Q8" s="1">
        <v>2282.1520723942631</v>
      </c>
      <c r="R8" s="1">
        <v>2159.272228367623</v>
      </c>
      <c r="S8" s="1">
        <v>4914.2189418692124</v>
      </c>
      <c r="T8" s="1"/>
      <c r="U8">
        <v>32</v>
      </c>
      <c r="V8">
        <v>1024</v>
      </c>
      <c r="W8">
        <v>512</v>
      </c>
      <c r="X8">
        <v>128</v>
      </c>
    </row>
    <row r="9" spans="1:24" x14ac:dyDescent="0.35">
      <c r="B9">
        <f>(B8-B2)*100/B2</f>
        <v>6.7774091551532365</v>
      </c>
      <c r="C9">
        <f t="shared" ref="C9:S9" si="2">(C8-C2)*100/C2</f>
        <v>0</v>
      </c>
      <c r="D9">
        <f t="shared" si="2"/>
        <v>0</v>
      </c>
      <c r="E9">
        <f t="shared" si="2"/>
        <v>-6.3088666480477613</v>
      </c>
      <c r="F9">
        <f t="shared" si="2"/>
        <v>-6.3088666480477924</v>
      </c>
      <c r="G9">
        <f t="shared" si="2"/>
        <v>-6.3088666480478013</v>
      </c>
      <c r="H9">
        <f t="shared" si="2"/>
        <v>10.671350555874001</v>
      </c>
      <c r="I9">
        <f t="shared" si="2"/>
        <v>10.970007081480873</v>
      </c>
      <c r="J9">
        <f t="shared" si="2"/>
        <v>11.547603938513047</v>
      </c>
      <c r="K9">
        <f t="shared" si="2"/>
        <v>13.915963457979986</v>
      </c>
      <c r="L9">
        <f t="shared" si="2"/>
        <v>11.8760152346401</v>
      </c>
      <c r="M9">
        <f t="shared" si="2"/>
        <v>33.246446359948635</v>
      </c>
      <c r="N9">
        <f t="shared" si="2"/>
        <v>9.0773944569955898</v>
      </c>
      <c r="O9">
        <f t="shared" si="2"/>
        <v>1.5270544282744454</v>
      </c>
      <c r="P9">
        <f t="shared" si="2"/>
        <v>31.331460129184116</v>
      </c>
      <c r="Q9">
        <f t="shared" si="2"/>
        <v>9.8776362787913037</v>
      </c>
      <c r="R9">
        <f t="shared" si="2"/>
        <v>11.422096803884298</v>
      </c>
      <c r="S9">
        <f t="shared" si="2"/>
        <v>6.2013858064404932</v>
      </c>
    </row>
    <row r="10" spans="1:24" x14ac:dyDescent="0.35">
      <c r="B10" s="1">
        <v>4.1815236708149248</v>
      </c>
      <c r="C10" s="1">
        <v>22725</v>
      </c>
      <c r="D10" s="1">
        <v>21070</v>
      </c>
      <c r="E10" s="1">
        <v>23.916735368475251</v>
      </c>
      <c r="F10" s="1">
        <v>5039.256142137745</v>
      </c>
      <c r="G10" s="1">
        <v>10474.334254623709</v>
      </c>
      <c r="H10" s="1">
        <v>524.58570376224782</v>
      </c>
      <c r="I10" s="1">
        <v>445.24863539263561</v>
      </c>
      <c r="J10" s="1">
        <v>1259.6883566565773</v>
      </c>
      <c r="K10" s="1">
        <v>9.7750729103911542</v>
      </c>
      <c r="L10" s="1">
        <v>7.5991208819505989</v>
      </c>
      <c r="M10" s="1">
        <v>24.090971356226696</v>
      </c>
      <c r="N10" s="1">
        <v>6.1728381318955172</v>
      </c>
      <c r="O10" s="1">
        <v>4.6545647084712938</v>
      </c>
      <c r="P10" s="1">
        <v>24.276247743517114</v>
      </c>
      <c r="Q10" s="1">
        <v>1818.6649334523786</v>
      </c>
      <c r="R10" s="1">
        <v>1678.2363928854406</v>
      </c>
      <c r="S10" s="1">
        <v>4137.248559571799</v>
      </c>
      <c r="T10" s="1"/>
      <c r="U10">
        <v>64</v>
      </c>
      <c r="V10">
        <v>1024</v>
      </c>
      <c r="W10">
        <v>512</v>
      </c>
      <c r="X10">
        <v>128</v>
      </c>
    </row>
    <row r="11" spans="1:24" x14ac:dyDescent="0.35">
      <c r="B11">
        <f>(B10-B3)*100/B3</f>
        <v>5.4588759964461655</v>
      </c>
      <c r="C11">
        <f t="shared" ref="C11:S11" si="3">(C10-C3)*100/C3</f>
        <v>0</v>
      </c>
      <c r="D11">
        <f t="shared" si="3"/>
        <v>0</v>
      </c>
      <c r="E11">
        <f t="shared" si="3"/>
        <v>-5.1912121970628196</v>
      </c>
      <c r="F11">
        <f t="shared" si="3"/>
        <v>-5.1912121970627556</v>
      </c>
      <c r="G11">
        <f t="shared" si="3"/>
        <v>-5.1912121970629981</v>
      </c>
      <c r="H11">
        <f t="shared" si="3"/>
        <v>19.183595567199397</v>
      </c>
      <c r="I11">
        <f t="shared" si="3"/>
        <v>18.758561152578284</v>
      </c>
      <c r="J11">
        <f t="shared" si="3"/>
        <v>19.491037404617497</v>
      </c>
      <c r="K11">
        <f t="shared" si="3"/>
        <v>19.459838580237165</v>
      </c>
      <c r="L11">
        <f t="shared" si="3"/>
        <v>12.2675132812815</v>
      </c>
      <c r="M11">
        <f t="shared" si="3"/>
        <v>33.302230580559488</v>
      </c>
      <c r="N11">
        <f t="shared" si="3"/>
        <v>8.7886635889941722</v>
      </c>
      <c r="O11">
        <f t="shared" si="3"/>
        <v>0.49119795329192917</v>
      </c>
      <c r="P11">
        <f t="shared" si="3"/>
        <v>31.942426099690248</v>
      </c>
      <c r="Q11">
        <f t="shared" si="3"/>
        <v>11.634695886953093</v>
      </c>
      <c r="R11">
        <f t="shared" si="3"/>
        <v>14.878987065407451</v>
      </c>
      <c r="S11">
        <f t="shared" si="3"/>
        <v>5.7475989669859642</v>
      </c>
    </row>
    <row r="12" spans="1:24" x14ac:dyDescent="0.35">
      <c r="A12" t="s">
        <v>26</v>
      </c>
      <c r="B12" s="1">
        <v>16.998888461664283</v>
      </c>
      <c r="C12" s="1">
        <v>22725</v>
      </c>
      <c r="D12" s="1">
        <v>21070</v>
      </c>
      <c r="E12" s="1">
        <v>5.8892575373360767</v>
      </c>
      <c r="F12" s="1">
        <v>1240.8665631167075</v>
      </c>
      <c r="G12" s="1">
        <v>2579.2003384763329</v>
      </c>
      <c r="H12" s="1">
        <v>2493.253912063311</v>
      </c>
      <c r="I12" s="1">
        <v>1985.8975548297124</v>
      </c>
      <c r="J12" s="1">
        <v>6827.4668242465677</v>
      </c>
      <c r="K12" s="1">
        <v>16.52653731936924</v>
      </c>
      <c r="L12" s="1">
        <v>16.553749965914022</v>
      </c>
      <c r="M12" s="1">
        <v>16.901123116734155</v>
      </c>
      <c r="N12" s="1">
        <v>16.463308389550122</v>
      </c>
      <c r="O12" s="1">
        <v>16.559266019612508</v>
      </c>
      <c r="P12" s="1">
        <v>17.665167311206414</v>
      </c>
      <c r="Q12" s="1">
        <v>5945.5189443714862</v>
      </c>
      <c r="R12" s="1">
        <v>5174.4594470597749</v>
      </c>
      <c r="S12" s="1">
        <v>15402.907374210617</v>
      </c>
      <c r="T12" s="1"/>
      <c r="U12">
        <v>32</v>
      </c>
      <c r="V12">
        <v>1024</v>
      </c>
      <c r="W12">
        <v>512</v>
      </c>
      <c r="X12">
        <v>128</v>
      </c>
    </row>
    <row r="13" spans="1:24" x14ac:dyDescent="0.35">
      <c r="B13" s="2">
        <f>(B12-B2)*100/B2</f>
        <v>242.31939290429298</v>
      </c>
      <c r="C13" s="2">
        <f t="shared" ref="C13:S13" si="4">(C12-C2)*100/C2</f>
        <v>0</v>
      </c>
      <c r="D13" s="2">
        <f t="shared" si="4"/>
        <v>0</v>
      </c>
      <c r="E13" s="2">
        <f t="shared" si="4"/>
        <v>-70.763634644341806</v>
      </c>
      <c r="F13" s="2">
        <f t="shared" si="4"/>
        <v>-70.763634644341934</v>
      </c>
      <c r="G13" s="2">
        <f t="shared" si="4"/>
        <v>-70.763634644341892</v>
      </c>
      <c r="H13" s="2">
        <f t="shared" si="4"/>
        <v>143.57159396522925</v>
      </c>
      <c r="I13" s="2">
        <f t="shared" si="4"/>
        <v>132.50101451505796</v>
      </c>
      <c r="J13" s="2">
        <f t="shared" si="4"/>
        <v>172.06100519346396</v>
      </c>
      <c r="K13" s="2">
        <f t="shared" si="4"/>
        <v>189.40622231705049</v>
      </c>
      <c r="L13" s="2">
        <f t="shared" si="4"/>
        <v>203.56368147607697</v>
      </c>
      <c r="M13" s="2">
        <f t="shared" si="4"/>
        <v>15.83127164380492</v>
      </c>
      <c r="N13" s="2">
        <f t="shared" si="4"/>
        <v>227.56416165160837</v>
      </c>
      <c r="O13" s="2">
        <f t="shared" si="4"/>
        <v>299.61795938578467</v>
      </c>
      <c r="P13" s="2">
        <f t="shared" si="4"/>
        <v>2.1607636042510516</v>
      </c>
      <c r="Q13" s="2">
        <f t="shared" si="4"/>
        <v>186.25593182882918</v>
      </c>
      <c r="R13" s="2">
        <f t="shared" si="4"/>
        <v>167.0108538625212</v>
      </c>
      <c r="S13" s="2">
        <f t="shared" si="4"/>
        <v>232.872858930294</v>
      </c>
      <c r="T13" s="2"/>
    </row>
    <row r="14" spans="1:24" x14ac:dyDescent="0.35">
      <c r="B14" s="1">
        <v>13.356128159910401</v>
      </c>
      <c r="C14" s="1">
        <v>22725</v>
      </c>
      <c r="D14" s="1">
        <v>21070</v>
      </c>
      <c r="E14" s="1">
        <v>7.4895267815346696</v>
      </c>
      <c r="F14" s="1">
        <v>1578.0432928693497</v>
      </c>
      <c r="G14" s="1">
        <v>3280.0382539731036</v>
      </c>
      <c r="H14" s="1">
        <v>498.58739087730618</v>
      </c>
      <c r="I14" s="1">
        <v>362.5034805387254</v>
      </c>
      <c r="J14" s="1">
        <v>1656.5599692631463</v>
      </c>
      <c r="K14" s="1">
        <v>17.160222967736765</v>
      </c>
      <c r="L14" s="1">
        <v>17.198339646957663</v>
      </c>
      <c r="M14" s="1">
        <v>17.744903512924228</v>
      </c>
      <c r="N14" s="1">
        <v>16.99427768150408</v>
      </c>
      <c r="O14" s="1">
        <v>16.922699380665971</v>
      </c>
      <c r="P14" s="1">
        <v>18.774406980723093</v>
      </c>
      <c r="Q14" s="1">
        <v>4062.2275409828826</v>
      </c>
      <c r="R14" s="1">
        <v>3046.8899398110771</v>
      </c>
      <c r="S14" s="1">
        <v>13167.169753480655</v>
      </c>
      <c r="T14" s="1"/>
      <c r="U14">
        <v>64</v>
      </c>
      <c r="V14">
        <v>1024</v>
      </c>
      <c r="W14">
        <v>512</v>
      </c>
      <c r="X14">
        <v>128</v>
      </c>
    </row>
    <row r="15" spans="1:24" x14ac:dyDescent="0.35">
      <c r="B15">
        <f>(B14-B3)*100/B3</f>
        <v>236.84426402735895</v>
      </c>
      <c r="C15">
        <f t="shared" ref="C15:S15" si="5">(C14-C3)*100/C3</f>
        <v>0</v>
      </c>
      <c r="D15">
        <f t="shared" si="5"/>
        <v>0</v>
      </c>
      <c r="E15">
        <f t="shared" si="5"/>
        <v>-70.310623735424784</v>
      </c>
      <c r="F15">
        <f t="shared" si="5"/>
        <v>-70.310623735424912</v>
      </c>
      <c r="G15">
        <f t="shared" si="5"/>
        <v>-70.310623735424812</v>
      </c>
      <c r="H15">
        <f t="shared" si="5"/>
        <v>13.27689169386486</v>
      </c>
      <c r="I15">
        <f t="shared" si="5"/>
        <v>-3.3115694478942741</v>
      </c>
      <c r="J15">
        <f t="shared" si="5"/>
        <v>57.137333376321074</v>
      </c>
      <c r="K15">
        <f t="shared" si="5"/>
        <v>109.712754525601</v>
      </c>
      <c r="L15">
        <f t="shared" si="5"/>
        <v>154.08397296546144</v>
      </c>
      <c r="M15">
        <f t="shared" si="5"/>
        <v>-1.8123767309938288</v>
      </c>
      <c r="N15">
        <f t="shared" si="5"/>
        <v>199.50319741551129</v>
      </c>
      <c r="O15">
        <f t="shared" si="5"/>
        <v>265.35797434967441</v>
      </c>
      <c r="P15">
        <f t="shared" si="5"/>
        <v>2.0396904740386423</v>
      </c>
      <c r="Q15">
        <f t="shared" si="5"/>
        <v>149.35078904302404</v>
      </c>
      <c r="R15">
        <f t="shared" si="5"/>
        <v>108.56634468727674</v>
      </c>
      <c r="S15">
        <f t="shared" si="5"/>
        <v>236.55134966447639</v>
      </c>
    </row>
    <row r="16" spans="1:24" x14ac:dyDescent="0.35">
      <c r="A16" t="s">
        <v>28</v>
      </c>
      <c r="B16" s="1">
        <v>5.6306864492595166</v>
      </c>
      <c r="C16" s="1">
        <v>22725</v>
      </c>
      <c r="D16" s="1">
        <v>21070</v>
      </c>
      <c r="E16" s="1">
        <v>17.765731073833262</v>
      </c>
      <c r="F16" s="1">
        <v>3743.239537256673</v>
      </c>
      <c r="G16" s="1">
        <v>7780.501923785293</v>
      </c>
      <c r="H16" s="1">
        <v>1219.5428379867183</v>
      </c>
      <c r="I16" s="1">
        <v>1014.0161505900278</v>
      </c>
      <c r="J16" s="1">
        <v>2985.4829208217534</v>
      </c>
      <c r="K16" s="1">
        <v>6.9208131569171654</v>
      </c>
      <c r="L16" s="1">
        <v>6.4541741275421156</v>
      </c>
      <c r="M16" s="1">
        <v>21.042317188763956</v>
      </c>
      <c r="N16" s="1">
        <v>5.8059481388118801</v>
      </c>
      <c r="O16" s="1">
        <v>4.3856713920831627</v>
      </c>
      <c r="P16" s="1">
        <v>25.148291388526506</v>
      </c>
      <c r="Q16" s="1">
        <v>2436.5977878961658</v>
      </c>
      <c r="R16" s="1">
        <v>2331.3816651701877</v>
      </c>
      <c r="S16" s="1">
        <v>5176.8277398888004</v>
      </c>
      <c r="T16" s="1"/>
      <c r="U16">
        <v>32</v>
      </c>
      <c r="V16">
        <v>1024</v>
      </c>
      <c r="W16">
        <v>512</v>
      </c>
      <c r="X16">
        <v>128</v>
      </c>
    </row>
    <row r="17" spans="1:24" x14ac:dyDescent="0.35">
      <c r="B17">
        <f>(B16-B2)*100/B2</f>
        <v>13.389364915936083</v>
      </c>
      <c r="C17">
        <f t="shared" ref="C17:S17" si="6">(C16-C2)*100/C2</f>
        <v>0</v>
      </c>
      <c r="D17">
        <f t="shared" si="6"/>
        <v>0</v>
      </c>
      <c r="E17">
        <f t="shared" si="6"/>
        <v>-11.804603349048838</v>
      </c>
      <c r="F17">
        <f t="shared" si="6"/>
        <v>-11.804603349048882</v>
      </c>
      <c r="G17">
        <f t="shared" si="6"/>
        <v>-11.80460334904887</v>
      </c>
      <c r="H17">
        <f t="shared" si="6"/>
        <v>19.1398884486184</v>
      </c>
      <c r="I17">
        <f t="shared" si="6"/>
        <v>18.716991807289514</v>
      </c>
      <c r="J17">
        <f t="shared" si="6"/>
        <v>18.965570296464598</v>
      </c>
      <c r="K17">
        <f t="shared" si="6"/>
        <v>21.194558327599005</v>
      </c>
      <c r="L17">
        <f t="shared" si="6"/>
        <v>18.357040735703237</v>
      </c>
      <c r="M17">
        <f t="shared" si="6"/>
        <v>44.212804171194037</v>
      </c>
      <c r="N17">
        <f t="shared" si="6"/>
        <v>15.518733518336216</v>
      </c>
      <c r="O17">
        <f t="shared" si="6"/>
        <v>5.8376047685414436</v>
      </c>
      <c r="P17">
        <f t="shared" si="6"/>
        <v>45.43698377338616</v>
      </c>
      <c r="Q17">
        <f t="shared" si="6"/>
        <v>17.313657023426412</v>
      </c>
      <c r="R17">
        <f t="shared" si="6"/>
        <v>20.30323465965839</v>
      </c>
      <c r="S17">
        <f t="shared" si="6"/>
        <v>11.876635241712016</v>
      </c>
    </row>
    <row r="18" spans="1:24" x14ac:dyDescent="0.35">
      <c r="B18" s="1">
        <v>4.3622553527355148</v>
      </c>
      <c r="C18" s="1">
        <v>22725</v>
      </c>
      <c r="D18" s="1">
        <v>21070</v>
      </c>
      <c r="E18" s="1">
        <v>22.927582985647021</v>
      </c>
      <c r="F18" s="1">
        <v>4830.8417350758336</v>
      </c>
      <c r="G18" s="1">
        <v>10041.134968564096</v>
      </c>
      <c r="H18" s="1">
        <v>541.89298827014841</v>
      </c>
      <c r="I18" s="1">
        <v>462.06352412700608</v>
      </c>
      <c r="J18" s="1">
        <v>1317.6173088438766</v>
      </c>
      <c r="K18" s="1">
        <v>10.252323889674154</v>
      </c>
      <c r="L18" s="1">
        <v>7.8851791793740702</v>
      </c>
      <c r="M18" s="1">
        <v>25.366313299039948</v>
      </c>
      <c r="N18" s="1">
        <v>6.4490323548939728</v>
      </c>
      <c r="O18" s="1">
        <v>4.8268473707139439</v>
      </c>
      <c r="P18" s="1">
        <v>25.656035857275072</v>
      </c>
      <c r="Q18" s="1">
        <v>1893.8873070999937</v>
      </c>
      <c r="R18" s="1">
        <v>1744.915916863823</v>
      </c>
      <c r="S18" s="1">
        <v>4312.1122245602282</v>
      </c>
      <c r="T18" s="1"/>
      <c r="U18">
        <v>64</v>
      </c>
      <c r="V18">
        <v>1024</v>
      </c>
      <c r="W18">
        <v>512</v>
      </c>
      <c r="X18">
        <v>128</v>
      </c>
    </row>
    <row r="19" spans="1:24" x14ac:dyDescent="0.35">
      <c r="B19">
        <f>(B18-B3)*100/B3</f>
        <v>10.016965710327458</v>
      </c>
      <c r="C19">
        <f t="shared" ref="C19:S19" si="7">(C18-C3)*100/C3</f>
        <v>0</v>
      </c>
      <c r="D19">
        <f t="shared" si="7"/>
        <v>0</v>
      </c>
      <c r="E19">
        <f t="shared" si="7"/>
        <v>-9.1123300638408917</v>
      </c>
      <c r="F19">
        <f t="shared" si="7"/>
        <v>-9.1123300638408846</v>
      </c>
      <c r="G19">
        <f t="shared" si="7"/>
        <v>-9.1123300638409788</v>
      </c>
      <c r="H19">
        <f t="shared" si="7"/>
        <v>23.115735506131006</v>
      </c>
      <c r="I19">
        <f t="shared" si="7"/>
        <v>23.243497957097826</v>
      </c>
      <c r="J19">
        <f t="shared" si="7"/>
        <v>24.986039843947012</v>
      </c>
      <c r="K19">
        <f t="shared" si="7"/>
        <v>25.292257987237353</v>
      </c>
      <c r="L19">
        <f t="shared" si="7"/>
        <v>16.493667096190524</v>
      </c>
      <c r="M19">
        <f t="shared" si="7"/>
        <v>40.359062088767232</v>
      </c>
      <c r="N19">
        <f t="shared" si="7"/>
        <v>13.656246339260788</v>
      </c>
      <c r="O19">
        <f t="shared" si="7"/>
        <v>4.2107490176131268</v>
      </c>
      <c r="P19">
        <f t="shared" si="7"/>
        <v>39.441632449706042</v>
      </c>
      <c r="Q19">
        <f t="shared" si="7"/>
        <v>16.252053736430842</v>
      </c>
      <c r="R19">
        <f t="shared" si="7"/>
        <v>19.443347727060079</v>
      </c>
      <c r="S19">
        <f t="shared" si="7"/>
        <v>10.217094201037757</v>
      </c>
    </row>
    <row r="20" spans="1:24" x14ac:dyDescent="0.35">
      <c r="A20" t="s">
        <v>29</v>
      </c>
      <c r="B20" s="1">
        <v>5.3429975209757661</v>
      </c>
      <c r="C20" s="1">
        <v>22725</v>
      </c>
      <c r="D20" s="1">
        <v>21070</v>
      </c>
      <c r="E20" s="1">
        <v>18.734413122433988</v>
      </c>
      <c r="F20" s="1">
        <v>3947.3408448968466</v>
      </c>
      <c r="G20" s="1">
        <v>8204.7362269699843</v>
      </c>
      <c r="H20" s="1">
        <v>1141.4516353011088</v>
      </c>
      <c r="I20" s="1">
        <v>950.92328684404436</v>
      </c>
      <c r="J20" s="1">
        <v>2825.7780869957014</v>
      </c>
      <c r="K20" s="1">
        <v>6.5260712543103523</v>
      </c>
      <c r="L20" s="1">
        <v>6.0641814367900162</v>
      </c>
      <c r="M20" s="1">
        <v>19.643184849992366</v>
      </c>
      <c r="N20" s="1">
        <v>5.4751720969840889</v>
      </c>
      <c r="O20" s="1">
        <v>4.181419219821688</v>
      </c>
      <c r="P20" s="1">
        <v>23.052000185474714</v>
      </c>
      <c r="Q20" s="1">
        <v>2288.6886697541872</v>
      </c>
      <c r="R20" s="1">
        <v>2160.8714194968297</v>
      </c>
      <c r="S20" s="1">
        <v>4912.0688585154694</v>
      </c>
      <c r="T20" s="1"/>
      <c r="U20">
        <v>32</v>
      </c>
      <c r="V20">
        <v>1024</v>
      </c>
      <c r="W20">
        <v>512</v>
      </c>
      <c r="X20">
        <v>128</v>
      </c>
    </row>
    <row r="21" spans="1:24" x14ac:dyDescent="0.35">
      <c r="B21">
        <f>(B20-B2)*100/B2</f>
        <v>7.5959567470740641</v>
      </c>
      <c r="C21">
        <f t="shared" ref="C21:S21" si="8">(C20-C2)*100/C2</f>
        <v>0</v>
      </c>
      <c r="D21">
        <f t="shared" si="8"/>
        <v>0</v>
      </c>
      <c r="E21">
        <f t="shared" si="8"/>
        <v>-6.9957217359060069</v>
      </c>
      <c r="F21">
        <f t="shared" si="8"/>
        <v>-6.995721735906046</v>
      </c>
      <c r="G21">
        <f t="shared" si="8"/>
        <v>-6.995721735906014</v>
      </c>
      <c r="H21">
        <f t="shared" si="8"/>
        <v>11.510982856305548</v>
      </c>
      <c r="I21">
        <f t="shared" si="8"/>
        <v>11.330329391634681</v>
      </c>
      <c r="J21">
        <f t="shared" si="8"/>
        <v>12.601649571040115</v>
      </c>
      <c r="K21">
        <f t="shared" si="8"/>
        <v>14.281993365198097</v>
      </c>
      <c r="L21">
        <f t="shared" si="8"/>
        <v>11.20533086952539</v>
      </c>
      <c r="M21">
        <f t="shared" si="8"/>
        <v>34.623898340585541</v>
      </c>
      <c r="N21">
        <f t="shared" si="8"/>
        <v>8.9374088980350006</v>
      </c>
      <c r="O21">
        <f t="shared" si="8"/>
        <v>0.90847106282214241</v>
      </c>
      <c r="P21">
        <f t="shared" si="8"/>
        <v>33.313763751304208</v>
      </c>
      <c r="Q21">
        <f t="shared" si="8"/>
        <v>10.192350567949582</v>
      </c>
      <c r="R21">
        <f t="shared" si="8"/>
        <v>11.50461776926581</v>
      </c>
      <c r="S21">
        <f t="shared" si="8"/>
        <v>6.1549202674671708</v>
      </c>
    </row>
    <row r="22" spans="1:24" x14ac:dyDescent="0.35">
      <c r="B22" s="1">
        <v>4.2330147359520165</v>
      </c>
      <c r="C22" s="1">
        <v>22725</v>
      </c>
      <c r="D22" s="1">
        <v>21070</v>
      </c>
      <c r="E22" s="1">
        <v>23.637833348214073</v>
      </c>
      <c r="F22" s="1">
        <v>4980.4914864687098</v>
      </c>
      <c r="G22" s="1">
        <v>10352.189114850322</v>
      </c>
      <c r="H22" s="1">
        <v>520.3790099676695</v>
      </c>
      <c r="I22" s="1">
        <v>444.58720218390192</v>
      </c>
      <c r="J22" s="1">
        <v>1275.0865791588972</v>
      </c>
      <c r="K22" s="1">
        <v>9.8114299954897817</v>
      </c>
      <c r="L22" s="1">
        <v>7.6855270222564513</v>
      </c>
      <c r="M22" s="1">
        <v>24.094541874372659</v>
      </c>
      <c r="N22" s="1">
        <v>6.2187113495816551</v>
      </c>
      <c r="O22" s="1">
        <v>4.6326749026775316</v>
      </c>
      <c r="P22" s="1">
        <v>24.408552980050395</v>
      </c>
      <c r="Q22" s="1">
        <v>1823.9202047679519</v>
      </c>
      <c r="R22" s="1">
        <v>1686.9637766852934</v>
      </c>
      <c r="S22" s="1">
        <v>4148.2444457542115</v>
      </c>
      <c r="T22" s="1"/>
      <c r="U22">
        <v>64</v>
      </c>
      <c r="V22">
        <v>1024</v>
      </c>
      <c r="W22">
        <v>512</v>
      </c>
      <c r="X22">
        <v>128</v>
      </c>
    </row>
    <row r="23" spans="1:24" x14ac:dyDescent="0.35">
      <c r="B23">
        <f>(B22-B3)*100/B3</f>
        <v>6.7574911139732201</v>
      </c>
      <c r="C23">
        <f t="shared" ref="C23:S23" si="9">(C22-C3)*100/C3</f>
        <v>0</v>
      </c>
      <c r="D23">
        <f t="shared" si="9"/>
        <v>0</v>
      </c>
      <c r="E23">
        <f t="shared" si="9"/>
        <v>-6.2968130263301072</v>
      </c>
      <c r="F23">
        <f t="shared" si="9"/>
        <v>-6.2968130263301356</v>
      </c>
      <c r="G23">
        <f t="shared" si="9"/>
        <v>-6.2968130263303257</v>
      </c>
      <c r="H23">
        <f t="shared" si="9"/>
        <v>18.227852991120162</v>
      </c>
      <c r="I23">
        <f t="shared" si="9"/>
        <v>18.5821409461503</v>
      </c>
      <c r="J23">
        <f t="shared" si="9"/>
        <v>20.951676118364809</v>
      </c>
      <c r="K23">
        <f t="shared" si="9"/>
        <v>19.904153579925097</v>
      </c>
      <c r="L23">
        <f t="shared" si="9"/>
        <v>13.544056009718998</v>
      </c>
      <c r="M23">
        <f t="shared" si="9"/>
        <v>33.321987278043672</v>
      </c>
      <c r="N23">
        <f t="shared" si="9"/>
        <v>9.5971225085332641</v>
      </c>
      <c r="O23">
        <f t="shared" si="9"/>
        <v>1.8601062936840232E-2</v>
      </c>
      <c r="P23">
        <f t="shared" si="9"/>
        <v>32.661510617129977</v>
      </c>
      <c r="Q23">
        <f t="shared" si="9"/>
        <v>11.957279010609508</v>
      </c>
      <c r="R23">
        <f t="shared" si="9"/>
        <v>15.476395758788449</v>
      </c>
      <c r="S23">
        <f t="shared" si="9"/>
        <v>6.0286525574486856</v>
      </c>
    </row>
    <row r="24" spans="1:24" x14ac:dyDescent="0.35">
      <c r="A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</dc:creator>
  <cp:lastModifiedBy>Michael Blum</cp:lastModifiedBy>
  <dcterms:created xsi:type="dcterms:W3CDTF">2015-06-05T18:17:20Z</dcterms:created>
  <dcterms:modified xsi:type="dcterms:W3CDTF">2026-04-29T07:10:00Z</dcterms:modified>
</cp:coreProperties>
</file>